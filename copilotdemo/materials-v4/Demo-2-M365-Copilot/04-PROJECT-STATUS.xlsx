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be8ced1684b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Status" sheetId="1" r:id="R85c7ceb0f2e4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2545"/>
      <x:name val="Carlito"/>
    </x:font>
    <x:font>
      <x:b/>
      <x:sz val="11"/>
      <x:color rgb="FF9A3412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FF7ED"/>
      </x:patternFill>
    </x:fill>
    <x:fill>
      <x:patternFill patternType="solid">
        <x:fgColor rgb="FF2563EB"/>
      </x:patternFill>
    </x:fill>
  </x:fills>
  <x:borders count="12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DBA74"/>
      </x:lef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200" fontId="5" fillId="0" borderId="9" xfId="0" applyNumberFormat="1" applyFont="1" applyFill="1" applyBorder="1" applyAlignment="1">
      <x:alignment vertical="center" wrapText="1"/>
    </x:xf>
    <x:xf numFmtId="200" fontId="5" fillId="0" borderId="10" xfId="0" applyNumberFormat="1" applyFont="1" applyFill="1" applyBorder="1" applyAlignment="1">
      <x:alignment vertical="center" wrapText="1"/>
    </x:xf>
    <x:xf numFmtId="200" fontId="5" fillId="0" borderId="11" xfId="0" applyNumberFormat="1" applyFont="1" applyFill="1" applyBorder="1" applyAlignment="1">
      <x:alignment vertical="center" wrapText="1"/>
    </x:xf>
    <x:xf numFmtId="201" fontId="5" fillId="0" borderId="9" xfId="0" applyNumberFormat="1" applyFont="1" applyFill="1" applyBorder="1" applyAlignment="1">
      <x:alignment vertical="center" wrapText="1"/>
    </x:xf>
    <x:xf numFmtId="201" fontId="5" fillId="0" borderId="10" xfId="0" applyNumberFormat="1" applyFont="1" applyFill="1" applyBorder="1" applyAlignment="1">
      <x:alignment vertical="center" wrapText="1"/>
    </x:xf>
    <x:xf numFmtId="201" fontId="5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c2c4ffd254bf4" /><Relationship Type="http://schemas.openxmlformats.org/officeDocument/2006/relationships/theme" Target="/xl/theme/theme1.xml" Id="R3b9ae333f34247f5" /><Relationship Type="http://schemas.openxmlformats.org/officeDocument/2006/relationships/sharedStrings" Target="/xl/sharedStrings.xml" Id="R25484c57bd1f4701" /><Relationship Type="http://schemas.openxmlformats.org/officeDocument/2006/relationships/worksheet" Target="/xl/worksheets/sheet1.xml" Id="R85c7ceb0f2e44f0f" /></Relationships>
</file>

<file path=xl/tables/table1.xml><?xml version="1.0" encoding="utf-8"?>
<x:table xmlns:x="http://schemas.openxmlformats.org/spreadsheetml/2006/main" id="1" name="ProjectStatusTable" displayName="ProjectStatusTable" ref="A6:H14" headerRowCount="1" totalsRowCount="0" totalsRowShown="0">
  <x:autoFilter ref="A6:H14"/>
  <x:tableColumns count="8">
    <x:tableColumn id="1" name="Task ID"/>
    <x:tableColumn id="2" name="Workstream"/>
    <x:tableColumn id="3" name="Task"/>
    <x:tableColumn id="4" name="Owner"/>
    <x:tableColumn id="5" name="Due Date"/>
    <x:tableColumn id="6" name="Status"/>
    <x:tableColumn id="7" name="Progress"/>
    <x:tableColumn id="8" name="Sourc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dc18b63e2f4d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30" hidden="0" customWidth="1"/>
    <x:col min="4" max="4" width="12" hidden="0" customWidth="1"/>
    <x:col min="5" max="5" width="14" hidden="0" customWidth="1"/>
    <x:col min="6" max="6" width="16" hidden="0" customWidth="1"/>
    <x:col min="7" max="7" width="12" hidden="0" customWidth="1"/>
    <x:col min="8" max="8" width="42" hidden="0" customWidth="1"/>
  </x:cols>
  <x:sheetData>
    <x:row r="1" ht="34" customHeight="1">
      <x:c r="A1" s="3" t="str">
        <x:v>Project Lighthouse｜跨团队项目状态表（虚构）</x:v>
      </x:c>
      <x:c r="B1" s="3"/>
      <x:c r="C1" s="3"/>
      <x:c r="D1" s="3"/>
      <x:c r="E1" s="3"/>
      <x:c r="F1" s="3"/>
      <x:c r="G1" s="3"/>
      <x:c r="H1" s="3"/>
    </x:row>
    <x:row r="2">
      <x:c r="A2" s="8" t="str">
        <x:v>任务总数</x:v>
      </x:c>
      <x:c r="B2" s="9" t="n">
        <x:f>COUNTA(A7:A14)</x:f>
        <x:v>8</x:v>
      </x:c>
      <x:c r="C2" s="8" t="str">
        <x:v>Blocked</x:v>
      </x:c>
      <x:c r="D2" s="9" t="n">
        <x:f>COUNTIF(F7:F14,"Blocked")</x:f>
        <x:v>2</x:v>
      </x:c>
      <x:c r="E2" s="8" t="str">
        <x:v>At Risk</x:v>
      </x:c>
      <x:c r="F2" s="9" t="n">
        <x:f>COUNTIF(F7:F14,"At Risk")</x:f>
        <x:v>2</x:v>
      </x:c>
      <x:c r="G2" s="8" t="str">
        <x:v>Done</x:v>
      </x:c>
      <x:c r="H2" s="9" t="n">
        <x:f>COUNTIF(F7:F14,"Done")</x:f>
        <x:v>1</x:v>
      </x:c>
    </x:row>
    <x:row r="3" ht="28" customHeight="1">
      <x:c r="A3" s="15" t="str">
        <x:v>使用说明：8 月 18 日是内部试运行目标；外部推广日期和保修期限均未确认。</x:v>
      </x:c>
      <x:c r="B3" s="16"/>
      <x:c r="C3" s="16"/>
      <x:c r="D3" s="16"/>
      <x:c r="E3" s="16"/>
      <x:c r="F3" s="16"/>
      <x:c r="G3" s="16"/>
      <x:c r="H3" s="17"/>
    </x:row>
    <x:row r="6" ht="26" customHeight="1">
      <x:c r="A6" s="23" t="str">
        <x:v>Task ID</x:v>
      </x:c>
      <x:c r="B6" s="24" t="str">
        <x:v>Workstream</x:v>
      </x:c>
      <x:c r="C6" s="24" t="str">
        <x:v>Task</x:v>
      </x:c>
      <x:c r="D6" s="24" t="str">
        <x:v>Owner</x:v>
      </x:c>
      <x:c r="E6" s="24" t="str">
        <x:v>Due Date</x:v>
      </x:c>
      <x:c r="F6" s="24" t="str">
        <x:v>Status</x:v>
      </x:c>
      <x:c r="G6" s="24" t="str">
        <x:v>Progress</x:v>
      </x:c>
      <x:c r="H6" s="25" t="str">
        <x:v>Source Note</x:v>
      </x:c>
    </x:row>
    <x:row r="7" ht="15" hidden="0" customHeight="1">
      <x:c r="A7" s="33" t="str">
        <x:v>LH-01</x:v>
      </x:c>
      <x:c r="B7" s="33" t="str">
        <x:v>Project</x:v>
      </x:c>
      <x:c r="C7" s="33" t="str">
        <x:v>确认内部试运行范围</x:v>
      </x:c>
      <x:c r="D7" s="33" t="str">
        <x:v>Jia</x:v>
      </x:c>
      <x:c r="E7" s="36" t="n">
        <x:v>46246</x:v>
      </x:c>
      <x:c r="F7" s="33" t="str">
        <x:v>In Progress</x:v>
      </x:c>
      <x:c r="G7" s="39" t="n">
        <x:v>0.75</x:v>
      </x:c>
      <x:c r="H7" s="33" t="str">
        <x:v>8/18 为内部试运行目标</x:v>
      </x:c>
    </x:row>
    <x:row r="8" ht="15" hidden="0" customHeight="1">
      <x:c r="A8" s="34" t="str">
        <x:v>LH-02</x:v>
      </x:c>
      <x:c r="B8" s="34" t="str">
        <x:v>Taiwan Team</x:v>
      </x:c>
      <x:c r="C8" s="34" t="str">
        <x:v>提供繁中截图预览</x:v>
      </x:c>
      <x:c r="D8" s="34" t="str">
        <x:v>Min</x:v>
      </x:c>
      <x:c r="E8" s="37" t="n">
        <x:v>46247</x:v>
      </x:c>
      <x:c r="F8" s="34" t="str">
        <x:v>At Risk</x:v>
      </x:c>
      <x:c r="G8" s="40" t="n">
        <x:v>0.6</x:v>
      </x:c>
      <x:c r="H8" s="34" t="str">
        <x:v>原计划 8/12，最新预计 8/13 15:00 预览</x:v>
      </x:c>
    </x:row>
    <x:row r="9" ht="15" hidden="0" customHeight="1">
      <x:c r="A9" s="34" t="str">
        <x:v>LH-03</x:v>
      </x:c>
      <x:c r="B9" s="34" t="str">
        <x:v>Taiwan Team</x:v>
      </x:c>
      <x:c r="C9" s="34" t="str">
        <x:v>交付繁中截图最终包</x:v>
      </x:c>
      <x:c r="D9" s="34" t="str">
        <x:v>Min</x:v>
      </x:c>
      <x:c r="E9" s="37" t="n">
        <x:v>46247</x:v>
      </x:c>
      <x:c r="F9" s="34" t="str">
        <x:v>At Risk</x:v>
      </x:c>
      <x:c r="G9" s="40" t="n">
        <x:v>0.45</x:v>
      </x:c>
      <x:c r="H9" s="34" t="str">
        <x:v>最新预计 8/13 18:00</x:v>
      </x:c>
    </x:row>
    <x:row r="10" ht="15" hidden="0" customHeight="1">
      <x:c r="A10" s="34" t="str">
        <x:v>LH-04</x:v>
      </x:c>
      <x:c r="B10" s="34" t="str">
        <x:v>Cheetah</x:v>
      </x:c>
      <x:c r="C10" s="34" t="str">
        <x:v>核对 FAQ 内容一致性</x:v>
      </x:c>
      <x:c r="D10" s="34" t="str">
        <x:v>Owen</x:v>
      </x:c>
      <x:c r="E10" s="37" t="n">
        <x:v>46245</x:v>
      </x:c>
      <x:c r="F10" s="34" t="str">
        <x:v>Blocked</x:v>
      </x:c>
      <x:c r="G10" s="40" t="n">
        <x:v>0.8</x:v>
      </x:c>
      <x:c r="H10" s="34" t="str">
        <x:v>保修期限出现 12 与 24 个月冲突</x:v>
      </x:c>
    </x:row>
    <x:row r="11" ht="15" hidden="0" customHeight="1">
      <x:c r="A11" s="34" t="str">
        <x:v>LH-05</x:v>
      </x:c>
      <x:c r="B11" s="34" t="str">
        <x:v>Policy</x:v>
      </x:c>
      <x:c r="C11" s="34" t="str">
        <x:v>批准保修政策版本</x:v>
      </x:c>
      <x:c r="D11" s="34" t="str">
        <x:v>Alex</x:v>
      </x:c>
      <x:c r="E11" s="37" t="n">
        <x:v>46248</x:v>
      </x:c>
      <x:c r="F11" s="34" t="str">
        <x:v>Blocked</x:v>
      </x:c>
      <x:c r="G11" s="40" t="n">
        <x:v>0.2</x:v>
      </x:c>
      <x:c r="H11" s="34" t="str">
        <x:v>Policy Owner 已收到问题，尚未确认</x:v>
      </x:c>
    </x:row>
    <x:row r="12" ht="15" hidden="0" customHeight="1">
      <x:c r="A12" s="34" t="str">
        <x:v>LH-06</x:v>
      </x:c>
      <x:c r="B12" s="34" t="str">
        <x:v>China Social</x:v>
      </x:c>
      <x:c r="C12" s="34" t="str">
        <x:v>完成社媒草稿骨架</x:v>
      </x:c>
      <x:c r="D12" s="34" t="str">
        <x:v>Lena</x:v>
      </x:c>
      <x:c r="E12" s="37" t="n">
        <x:v>46244</x:v>
      </x:c>
      <x:c r="F12" s="34" t="str">
        <x:v>Done</x:v>
      </x:c>
      <x:c r="G12" s="40" t="n">
        <x:v>1</x:v>
      </x:c>
      <x:c r="H12" s="34" t="str">
        <x:v>保持 Draft，不安排发布</x:v>
      </x:c>
    </x:row>
    <x:row r="13" ht="15" hidden="0" customHeight="1">
      <x:c r="A13" s="34" t="str">
        <x:v>LH-07</x:v>
      </x:c>
      <x:c r="B13" s="34" t="str">
        <x:v>China Social</x:v>
      </x:c>
      <x:c r="C13" s="34" t="str">
        <x:v>确认社媒排期</x:v>
      </x:c>
      <x:c r="D13" s="34" t="str">
        <x:v>Lena</x:v>
      </x:c>
      <x:c r="E13" s="37"/>
      <x:c r="F13" s="34" t="str">
        <x:v>Not Started</x:v>
      </x:c>
      <x:c r="G13" s="40" t="n">
        <x:v>0</x:v>
      </x:c>
      <x:c r="H13" s="34" t="str">
        <x:v>依赖批准信息；外部日期未确认</x:v>
      </x:c>
    </x:row>
    <x:row r="14" ht="15" hidden="0" customHeight="1">
      <x:c r="A14" s="35" t="str">
        <x:v>LH-08</x:v>
      </x:c>
      <x:c r="B14" s="35" t="str">
        <x:v>Leadership</x:v>
      </x:c>
      <x:c r="C14" s="35" t="str">
        <x:v>决定有限内部试运行范围</x:v>
      </x:c>
      <x:c r="D14" s="35" t="str">
        <x:v>Dana</x:v>
      </x:c>
      <x:c r="E14" s="38" t="n">
        <x:v>46248</x:v>
      </x:c>
      <x:c r="F14" s="35" t="str">
        <x:v>Not Started</x:v>
      </x:c>
      <x:c r="G14" s="41" t="n">
        <x:v>0</x:v>
      </x:c>
      <x:c r="H14" s="35" t="str">
        <x:v>仅在保修问题未按时解决时触发</x:v>
      </x:c>
    </x:row>
  </x:sheetData>
  <x:mergeCells>
    <x:mergeCell ref="A1:H1"/>
    <x:mergeCell ref="A3:H3"/>
  </x:mergeCells>
  <x:conditionalFormatting sqref="F7:F14">
    <x:cfRule type="containsText" dxfId="0" priority="1" operator="containsText" text="Blocked"/>
    <x:cfRule type="containsText" dxfId="1" priority="2" operator="containsText" text="At Risk"/>
    <x:cfRule type="containsText" dxfId="2" priority="3" operator="containsText" text="Done"/>
    <x:cfRule type="containsText" dxfId="3" priority="4" operator="containsText" text="In Progress"/>
  </x:conditionalFormatting>
  <x:dataValidations count="1">
    <x:dataValidation type="list" sqref="F7:F14">
      <x:formula1>"Not Started,In Progress,At Risk,Blocked,Done"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dc18b63e2f4d84"/>
  </x:tableParts>
</x:worksheet>
</file>